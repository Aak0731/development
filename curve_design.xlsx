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<sst xmlns="http://schemas.openxmlformats.org/spreadsheetml/2006/main" count="4" uniqueCount="4">
  <si>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等级</t>
  </si>
  <si>
    <t>理论经验</t>
  </si>
  <si>
    <t>最终经验</t>
  </si>
  <si>
    <t>累计经验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</si>
</sst>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138A1877-B484-41FD-B777-3E9C4FE644C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等级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Sheet1!$A$2:$A$91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理论经验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Sheet1!$B$2:$B$91</c:f>
              <c:numCache>
                <c:formatCode>General</c:formatCode>
                <c:ptCount val="90"/>
                <c:pt idx="0">
                  <c:v>150</c:v>
                </c:pt>
                <c:pt idx="1">
                  <c:v>223</c:v>
                </c:pt>
                <c:pt idx="2">
                  <c:v>309</c:v>
                </c:pt>
                <c:pt idx="3">
                  <c:v>403</c:v>
                </c:pt>
                <c:pt idx="4">
                  <c:v>505</c:v>
                </c:pt>
                <c:pt idx="5">
                  <c:v>614</c:v>
                </c:pt>
                <c:pt idx="6">
                  <c:v>727</c:v>
                </c:pt>
                <c:pt idx="7">
                  <c:v>846</c:v>
                </c:pt>
                <c:pt idx="8">
                  <c:v>970</c:v>
                </c:pt>
                <c:pt idx="9">
                  <c:v>1098</c:v>
                </c:pt>
                <c:pt idx="10">
                  <c:v>1229</c:v>
                </c:pt>
                <c:pt idx="11">
                  <c:v>1364</c:v>
                </c:pt>
                <c:pt idx="12">
                  <c:v>1503</c:v>
                </c:pt>
                <c:pt idx="13">
                  <c:v>1645</c:v>
                </c:pt>
                <c:pt idx="14">
                  <c:v>1790</c:v>
                </c:pt>
                <c:pt idx="15">
                  <c:v>1938</c:v>
                </c:pt>
                <c:pt idx="16">
                  <c:v>2089</c:v>
                </c:pt>
                <c:pt idx="17">
                  <c:v>2242</c:v>
                </c:pt>
                <c:pt idx="18">
                  <c:v>2398</c:v>
                </c:pt>
                <c:pt idx="19">
                  <c:v>2556</c:v>
                </c:pt>
                <c:pt idx="20">
                  <c:v>2717</c:v>
                </c:pt>
                <c:pt idx="21">
                  <c:v>2880</c:v>
                </c:pt>
                <c:pt idx="22">
                  <c:v>3046</c:v>
                </c:pt>
                <c:pt idx="23">
                  <c:v>3213</c:v>
                </c:pt>
                <c:pt idx="24">
                  <c:v>3383</c:v>
                </c:pt>
                <c:pt idx="25">
                  <c:v>3555</c:v>
                </c:pt>
                <c:pt idx="26">
                  <c:v>3729</c:v>
                </c:pt>
                <c:pt idx="27">
                  <c:v>3904</c:v>
                </c:pt>
                <c:pt idx="28">
                  <c:v>4082</c:v>
                </c:pt>
                <c:pt idx="29">
                  <c:v>4261</c:v>
                </c:pt>
                <c:pt idx="30">
                  <c:v>4443</c:v>
                </c:pt>
                <c:pt idx="31">
                  <c:v>4625</c:v>
                </c:pt>
                <c:pt idx="32">
                  <c:v>4810</c:v>
                </c:pt>
                <c:pt idx="33">
                  <c:v>4997</c:v>
                </c:pt>
                <c:pt idx="34">
                  <c:v>5185</c:v>
                </c:pt>
                <c:pt idx="35">
                  <c:v>5374</c:v>
                </c:pt>
                <c:pt idx="36">
                  <c:v>5566</c:v>
                </c:pt>
                <c:pt idx="37">
                  <c:v>5758</c:v>
                </c:pt>
                <c:pt idx="38">
                  <c:v>5953</c:v>
                </c:pt>
                <c:pt idx="39">
                  <c:v>6149</c:v>
                </c:pt>
                <c:pt idx="40">
                  <c:v>6346</c:v>
                </c:pt>
                <c:pt idx="41">
                  <c:v>6545</c:v>
                </c:pt>
                <c:pt idx="42">
                  <c:v>6745</c:v>
                </c:pt>
                <c:pt idx="43">
                  <c:v>6946</c:v>
                </c:pt>
                <c:pt idx="44">
                  <c:v>7149</c:v>
                </c:pt>
                <c:pt idx="45">
                  <c:v>7354</c:v>
                </c:pt>
                <c:pt idx="46">
                  <c:v>7559</c:v>
                </c:pt>
                <c:pt idx="47">
                  <c:v>7766</c:v>
                </c:pt>
                <c:pt idx="48">
                  <c:v>7975</c:v>
                </c:pt>
                <c:pt idx="49">
                  <c:v>8184</c:v>
                </c:pt>
                <c:pt idx="50">
                  <c:v>8395</c:v>
                </c:pt>
                <c:pt idx="51">
                  <c:v>8607</c:v>
                </c:pt>
                <c:pt idx="52">
                  <c:v>8820</c:v>
                </c:pt>
                <c:pt idx="53">
                  <c:v>9035</c:v>
                </c:pt>
                <c:pt idx="54">
                  <c:v>9250</c:v>
                </c:pt>
                <c:pt idx="55">
                  <c:v>9467</c:v>
                </c:pt>
                <c:pt idx="56">
                  <c:v>9685</c:v>
                </c:pt>
                <c:pt idx="57">
                  <c:v>9905</c:v>
                </c:pt>
                <c:pt idx="58">
                  <c:v>10125</c:v>
                </c:pt>
                <c:pt idx="59">
                  <c:v>10346</c:v>
                </c:pt>
                <c:pt idx="60">
                  <c:v>10569</c:v>
                </c:pt>
                <c:pt idx="61">
                  <c:v>10792</c:v>
                </c:pt>
                <c:pt idx="62">
                  <c:v>11017</c:v>
                </c:pt>
                <c:pt idx="63">
                  <c:v>11243</c:v>
                </c:pt>
                <c:pt idx="64">
                  <c:v>11470</c:v>
                </c:pt>
                <c:pt idx="65">
                  <c:v>11698</c:v>
                </c:pt>
                <c:pt idx="66">
                  <c:v>11927</c:v>
                </c:pt>
                <c:pt idx="67">
                  <c:v>12157</c:v>
                </c:pt>
                <c:pt idx="68">
                  <c:v>12388</c:v>
                </c:pt>
                <c:pt idx="69">
                  <c:v>12620</c:v>
                </c:pt>
                <c:pt idx="70">
                  <c:v>12853</c:v>
                </c:pt>
                <c:pt idx="71">
                  <c:v>13087</c:v>
                </c:pt>
                <c:pt idx="72">
                  <c:v>13322</c:v>
                </c:pt>
                <c:pt idx="73">
                  <c:v>13558</c:v>
                </c:pt>
                <c:pt idx="74">
                  <c:v>13795</c:v>
                </c:pt>
                <c:pt idx="75">
                  <c:v>14032</c:v>
                </c:pt>
                <c:pt idx="76">
                  <c:v>14271</c:v>
                </c:pt>
                <c:pt idx="77">
                  <c:v>14511</c:v>
                </c:pt>
                <c:pt idx="78">
                  <c:v>14752</c:v>
                </c:pt>
                <c:pt idx="79">
                  <c:v>14993</c:v>
                </c:pt>
                <c:pt idx="80">
                  <c:v>15236</c:v>
                </c:pt>
                <c:pt idx="81">
                  <c:v>15479</c:v>
                </c:pt>
                <c:pt idx="82">
                  <c:v>15723</c:v>
                </c:pt>
                <c:pt idx="83">
                  <c:v>15968</c:v>
                </c:pt>
                <c:pt idx="84">
                  <c:v>16214</c:v>
                </c:pt>
                <c:pt idx="85">
                  <c:v>16461</c:v>
                </c:pt>
                <c:pt idx="86">
                  <c:v>16709</c:v>
                </c:pt>
                <c:pt idx="87">
                  <c:v>16958</c:v>
                </c:pt>
                <c:pt idx="88">
                  <c:v>17207</c:v>
                </c:pt>
                <c:pt idx="89">
                  <c:v>17457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最终经验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Sheet1!$C$2:$C$91</c:f>
              <c:numCache>
                <c:formatCode>General</c:formatCode>
                <c:ptCount val="90"/>
                <c:pt idx="0">
                  <c:v>150</c:v>
                </c:pt>
                <c:pt idx="1">
                  <c:v>223</c:v>
                </c:pt>
                <c:pt idx="2">
                  <c:v>309</c:v>
                </c:pt>
                <c:pt idx="3">
                  <c:v>403</c:v>
                </c:pt>
                <c:pt idx="4">
                  <c:v>505</c:v>
                </c:pt>
                <c:pt idx="5">
                  <c:v>614</c:v>
                </c:pt>
                <c:pt idx="6">
                  <c:v>727</c:v>
                </c:pt>
                <c:pt idx="7">
                  <c:v>846</c:v>
                </c:pt>
                <c:pt idx="8">
                  <c:v>970</c:v>
                </c:pt>
                <c:pt idx="9">
                  <c:v>1098</c:v>
                </c:pt>
                <c:pt idx="10">
                  <c:v>1229</c:v>
                </c:pt>
                <c:pt idx="11">
                  <c:v>1364</c:v>
                </c:pt>
                <c:pt idx="12">
                  <c:v>1503</c:v>
                </c:pt>
                <c:pt idx="13">
                  <c:v>1645</c:v>
                </c:pt>
                <c:pt idx="14">
                  <c:v>1790</c:v>
                </c:pt>
                <c:pt idx="15">
                  <c:v>1938</c:v>
                </c:pt>
                <c:pt idx="16">
                  <c:v>2089</c:v>
                </c:pt>
                <c:pt idx="17">
                  <c:v>2242</c:v>
                </c:pt>
                <c:pt idx="18">
                  <c:v>2398</c:v>
                </c:pt>
                <c:pt idx="19">
                  <c:v>2556</c:v>
                </c:pt>
                <c:pt idx="20">
                  <c:v>2717</c:v>
                </c:pt>
                <c:pt idx="21">
                  <c:v>2880</c:v>
                </c:pt>
                <c:pt idx="22">
                  <c:v>3046</c:v>
                </c:pt>
                <c:pt idx="23">
                  <c:v>3213</c:v>
                </c:pt>
                <c:pt idx="24">
                  <c:v>3383</c:v>
                </c:pt>
                <c:pt idx="25">
                  <c:v>3555</c:v>
                </c:pt>
                <c:pt idx="26">
                  <c:v>3729</c:v>
                </c:pt>
                <c:pt idx="27">
                  <c:v>3904</c:v>
                </c:pt>
                <c:pt idx="28">
                  <c:v>4082</c:v>
                </c:pt>
                <c:pt idx="29">
                  <c:v>4261</c:v>
                </c:pt>
                <c:pt idx="30">
                  <c:v>4443</c:v>
                </c:pt>
                <c:pt idx="31">
                  <c:v>4625</c:v>
                </c:pt>
                <c:pt idx="32">
                  <c:v>4810</c:v>
                </c:pt>
                <c:pt idx="33">
                  <c:v>4997</c:v>
                </c:pt>
                <c:pt idx="34">
                  <c:v>5185</c:v>
                </c:pt>
                <c:pt idx="35">
                  <c:v>5374</c:v>
                </c:pt>
                <c:pt idx="36">
                  <c:v>5566</c:v>
                </c:pt>
                <c:pt idx="37">
                  <c:v>5758</c:v>
                </c:pt>
                <c:pt idx="38">
                  <c:v>5953</c:v>
                </c:pt>
                <c:pt idx="39">
                  <c:v>6149</c:v>
                </c:pt>
                <c:pt idx="40">
                  <c:v>6346</c:v>
                </c:pt>
                <c:pt idx="41">
                  <c:v>6545</c:v>
                </c:pt>
                <c:pt idx="42">
                  <c:v>6745</c:v>
                </c:pt>
                <c:pt idx="43">
                  <c:v>6946</c:v>
                </c:pt>
                <c:pt idx="44">
                  <c:v>7149</c:v>
                </c:pt>
                <c:pt idx="45">
                  <c:v>7354</c:v>
                </c:pt>
                <c:pt idx="46">
                  <c:v>7559</c:v>
                </c:pt>
                <c:pt idx="47">
                  <c:v>7766</c:v>
                </c:pt>
                <c:pt idx="48">
                  <c:v>7975</c:v>
                </c:pt>
                <c:pt idx="49">
                  <c:v>8184</c:v>
                </c:pt>
                <c:pt idx="50">
                  <c:v>8647</c:v>
                </c:pt>
                <c:pt idx="51">
                  <c:v>9123</c:v>
                </c:pt>
                <c:pt idx="52">
                  <c:v>9614</c:v>
                </c:pt>
                <c:pt idx="53">
                  <c:v>10119</c:v>
                </c:pt>
                <c:pt idx="54">
                  <c:v>10638</c:v>
                </c:pt>
                <c:pt idx="55">
                  <c:v>11171</c:v>
                </c:pt>
                <c:pt idx="56">
                  <c:v>11719</c:v>
                </c:pt>
                <c:pt idx="57">
                  <c:v>12282</c:v>
                </c:pt>
                <c:pt idx="58">
                  <c:v>12859</c:v>
                </c:pt>
                <c:pt idx="59">
                  <c:v>13450</c:v>
                </c:pt>
                <c:pt idx="60">
                  <c:v>13740</c:v>
                </c:pt>
                <c:pt idx="61">
                  <c:v>14030</c:v>
                </c:pt>
                <c:pt idx="62">
                  <c:v>14322</c:v>
                </c:pt>
                <c:pt idx="63">
                  <c:v>14616</c:v>
                </c:pt>
                <c:pt idx="64">
                  <c:v>14911</c:v>
                </c:pt>
                <c:pt idx="65">
                  <c:v>15207</c:v>
                </c:pt>
                <c:pt idx="66">
                  <c:v>15505</c:v>
                </c:pt>
                <c:pt idx="67">
                  <c:v>15804</c:v>
                </c:pt>
                <c:pt idx="68">
                  <c:v>16104</c:v>
                </c:pt>
                <c:pt idx="69">
                  <c:v>16406</c:v>
                </c:pt>
                <c:pt idx="70">
                  <c:v>16709</c:v>
                </c:pt>
                <c:pt idx="71">
                  <c:v>17013</c:v>
                </c:pt>
                <c:pt idx="72">
                  <c:v>17319</c:v>
                </c:pt>
                <c:pt idx="73">
                  <c:v>17625</c:v>
                </c:pt>
                <c:pt idx="74">
                  <c:v>17934</c:v>
                </c:pt>
                <c:pt idx="75">
                  <c:v>18242</c:v>
                </c:pt>
                <c:pt idx="76">
                  <c:v>18552</c:v>
                </c:pt>
                <c:pt idx="77">
                  <c:v>18864</c:v>
                </c:pt>
                <c:pt idx="78">
                  <c:v>19178</c:v>
                </c:pt>
                <c:pt idx="79">
                  <c:v>19041</c:v>
                </c:pt>
                <c:pt idx="80">
                  <c:v>18893</c:v>
                </c:pt>
                <c:pt idx="81">
                  <c:v>18730</c:v>
                </c:pt>
                <c:pt idx="82">
                  <c:v>18553</c:v>
                </c:pt>
                <c:pt idx="83">
                  <c:v>18363</c:v>
                </c:pt>
                <c:pt idx="84">
                  <c:v>18160</c:v>
                </c:pt>
                <c:pt idx="85">
                  <c:v>17942</c:v>
                </c:pt>
                <c:pt idx="86">
                  <c:v>17712</c:v>
                </c:pt>
                <c:pt idx="87">
                  <c:v>17467</c:v>
                </c:pt>
                <c:pt idx="88">
                  <c:v>17207</c:v>
                </c:pt>
                <c:pt idx="89">
                  <c:v>16933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4023838"/>
        <c:axId val="155349412"/>
      </c:lineChart>
      <c:catAx>
        <c:axId val="1540238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349412"/>
        <c:crosses val="autoZero"/>
        <c:auto val="1"/>
        <c:lblAlgn val="ctr"/>
        <c:lblOffset val="100"/>
        <c:noMultiLvlLbl val="0"/>
      </c:catAx>
      <c:valAx>
        <c:axId val="1553494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0238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515620</xdr:colOff>
      <xdr:row>2</xdr:row>
      <xdr:rowOff>137160</xdr:rowOff>
    </xdr:from>
    <xdr:to>
      <xdr:col>11</xdr:col>
      <xdr:colOff>541020</xdr:colOff>
      <xdr:row>16</xdr:row>
      <xdr:rowOff>106680</xdr:rowOff>
    </xdr:to>
    <xdr:graphicFrame>
      <xdr:nvGraphicFramePr>
        <xdr:cNvPr id="2" name="图表 1"/>
        <xdr:cNvGraphicFramePr/>
      </xdr:nvGraphicFramePr>
      <xdr:xfrm>
        <a:off x="4127500" y="533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workbookViewId="0">
      <selection activeCell="C92" sqref="C92"/>
    </sheetView>
  </sheetViews>
  <sheetFormatPr defaultColWidth="9" defaultRowHeight="15.6" outlineLevelCol="3"/>
  <cols>
    <col min="2" max="4" width="12.8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f>ROUND(50*A2^1.3+100,0)</f>
        <v>150</v>
      </c>
      <c r="C2">
        <f>B2</f>
        <v>150</v>
      </c>
      <c r="D2">
        <f>C2</f>
        <v>150</v>
      </c>
    </row>
    <row r="3" spans="1:4">
      <c r="A3">
        <v>2</v>
      </c>
      <c r="B3">
        <f t="shared" ref="B3:B34" si="0">ROUND(50*A3^1.3+100,0)</f>
        <v>223</v>
      </c>
      <c r="C3">
        <f t="shared" ref="C3:C34" si="1">B3</f>
        <v>223</v>
      </c>
      <c r="D3">
        <f>D2+C3</f>
        <v>373</v>
      </c>
    </row>
    <row r="4" spans="1:4">
      <c r="A4">
        <v>3</v>
      </c>
      <c r="B4">
        <f t="shared" si="0"/>
        <v>309</v>
      </c>
      <c r="C4">
        <f t="shared" si="1"/>
        <v>309</v>
      </c>
      <c r="D4">
        <f t="shared" ref="D4:D35" si="2">D3+C4</f>
        <v>682</v>
      </c>
    </row>
    <row r="5" spans="1:4">
      <c r="A5">
        <v>4</v>
      </c>
      <c r="B5">
        <f t="shared" si="0"/>
        <v>403</v>
      </c>
      <c r="C5">
        <f t="shared" si="1"/>
        <v>403</v>
      </c>
      <c r="D5">
        <f t="shared" si="2"/>
        <v>1085</v>
      </c>
    </row>
    <row r="6" spans="1:4">
      <c r="A6">
        <v>5</v>
      </c>
      <c r="B6">
        <f t="shared" si="0"/>
        <v>505</v>
      </c>
      <c r="C6">
        <f t="shared" si="1"/>
        <v>505</v>
      </c>
      <c r="D6">
        <f t="shared" si="2"/>
        <v>1590</v>
      </c>
    </row>
    <row r="7" spans="1:4">
      <c r="A7">
        <v>6</v>
      </c>
      <c r="B7">
        <f t="shared" si="0"/>
        <v>614</v>
      </c>
      <c r="C7">
        <f t="shared" si="1"/>
        <v>614</v>
      </c>
      <c r="D7">
        <f t="shared" si="2"/>
        <v>2204</v>
      </c>
    </row>
    <row r="8" spans="1:4">
      <c r="A8">
        <v>7</v>
      </c>
      <c r="B8">
        <f t="shared" si="0"/>
        <v>727</v>
      </c>
      <c r="C8">
        <f t="shared" si="1"/>
        <v>727</v>
      </c>
      <c r="D8">
        <f t="shared" si="2"/>
        <v>2931</v>
      </c>
    </row>
    <row r="9" spans="1:4">
      <c r="A9">
        <v>8</v>
      </c>
      <c r="B9">
        <f t="shared" si="0"/>
        <v>846</v>
      </c>
      <c r="C9">
        <f t="shared" si="1"/>
        <v>846</v>
      </c>
      <c r="D9">
        <f t="shared" si="2"/>
        <v>3777</v>
      </c>
    </row>
    <row r="10" spans="1:4">
      <c r="A10">
        <v>9</v>
      </c>
      <c r="B10">
        <f t="shared" si="0"/>
        <v>970</v>
      </c>
      <c r="C10">
        <f t="shared" si="1"/>
        <v>970</v>
      </c>
      <c r="D10">
        <f t="shared" si="2"/>
        <v>4747</v>
      </c>
    </row>
    <row r="11" spans="1:4">
      <c r="A11">
        <v>10</v>
      </c>
      <c r="B11">
        <f t="shared" si="0"/>
        <v>1098</v>
      </c>
      <c r="C11">
        <f t="shared" si="1"/>
        <v>1098</v>
      </c>
      <c r="D11">
        <f t="shared" si="2"/>
        <v>5845</v>
      </c>
    </row>
    <row r="12" spans="1:4">
      <c r="A12">
        <v>11</v>
      </c>
      <c r="B12">
        <f t="shared" si="0"/>
        <v>1229</v>
      </c>
      <c r="C12">
        <f t="shared" si="1"/>
        <v>1229</v>
      </c>
      <c r="D12">
        <f t="shared" si="2"/>
        <v>7074</v>
      </c>
    </row>
    <row r="13" spans="1:4">
      <c r="A13">
        <v>12</v>
      </c>
      <c r="B13">
        <f t="shared" si="0"/>
        <v>1364</v>
      </c>
      <c r="C13">
        <f t="shared" si="1"/>
        <v>1364</v>
      </c>
      <c r="D13">
        <f t="shared" si="2"/>
        <v>8438</v>
      </c>
    </row>
    <row r="14" spans="1:4">
      <c r="A14">
        <v>13</v>
      </c>
      <c r="B14">
        <f t="shared" si="0"/>
        <v>1503</v>
      </c>
      <c r="C14">
        <f t="shared" si="1"/>
        <v>1503</v>
      </c>
      <c r="D14">
        <f t="shared" si="2"/>
        <v>9941</v>
      </c>
    </row>
    <row r="15" spans="1:4">
      <c r="A15">
        <v>14</v>
      </c>
      <c r="B15">
        <f t="shared" si="0"/>
        <v>1645</v>
      </c>
      <c r="C15">
        <f t="shared" si="1"/>
        <v>1645</v>
      </c>
      <c r="D15">
        <f t="shared" si="2"/>
        <v>11586</v>
      </c>
    </row>
    <row r="16" spans="1:4">
      <c r="A16">
        <v>15</v>
      </c>
      <c r="B16">
        <f t="shared" si="0"/>
        <v>1790</v>
      </c>
      <c r="C16">
        <f t="shared" si="1"/>
        <v>1790</v>
      </c>
      <c r="D16">
        <f t="shared" si="2"/>
        <v>13376</v>
      </c>
    </row>
    <row r="17" spans="1:4">
      <c r="A17">
        <v>16</v>
      </c>
      <c r="B17">
        <f t="shared" si="0"/>
        <v>1938</v>
      </c>
      <c r="C17">
        <f t="shared" si="1"/>
        <v>1938</v>
      </c>
      <c r="D17">
        <f t="shared" si="2"/>
        <v>15314</v>
      </c>
    </row>
    <row r="18" spans="1:4">
      <c r="A18">
        <v>17</v>
      </c>
      <c r="B18">
        <f t="shared" si="0"/>
        <v>2089</v>
      </c>
      <c r="C18">
        <f t="shared" si="1"/>
        <v>2089</v>
      </c>
      <c r="D18">
        <f t="shared" si="2"/>
        <v>17403</v>
      </c>
    </row>
    <row r="19" spans="1:4">
      <c r="A19">
        <v>18</v>
      </c>
      <c r="B19">
        <f t="shared" si="0"/>
        <v>2242</v>
      </c>
      <c r="C19">
        <f t="shared" si="1"/>
        <v>2242</v>
      </c>
      <c r="D19">
        <f t="shared" si="2"/>
        <v>19645</v>
      </c>
    </row>
    <row r="20" spans="1:4">
      <c r="A20">
        <v>19</v>
      </c>
      <c r="B20">
        <f t="shared" si="0"/>
        <v>2398</v>
      </c>
      <c r="C20">
        <f t="shared" si="1"/>
        <v>2398</v>
      </c>
      <c r="D20">
        <f t="shared" si="2"/>
        <v>22043</v>
      </c>
    </row>
    <row r="21" spans="1:4">
      <c r="A21">
        <v>20</v>
      </c>
      <c r="B21">
        <f t="shared" si="0"/>
        <v>2556</v>
      </c>
      <c r="C21">
        <f t="shared" si="1"/>
        <v>2556</v>
      </c>
      <c r="D21">
        <f t="shared" si="2"/>
        <v>24599</v>
      </c>
    </row>
    <row r="22" spans="1:4">
      <c r="A22">
        <v>21</v>
      </c>
      <c r="B22">
        <f t="shared" si="0"/>
        <v>2717</v>
      </c>
      <c r="C22">
        <f t="shared" si="1"/>
        <v>2717</v>
      </c>
      <c r="D22">
        <f t="shared" si="2"/>
        <v>27316</v>
      </c>
    </row>
    <row r="23" spans="1:4">
      <c r="A23">
        <v>22</v>
      </c>
      <c r="B23">
        <f t="shared" si="0"/>
        <v>2880</v>
      </c>
      <c r="C23">
        <f t="shared" si="1"/>
        <v>2880</v>
      </c>
      <c r="D23">
        <f t="shared" si="2"/>
        <v>30196</v>
      </c>
    </row>
    <row r="24" spans="1:4">
      <c r="A24">
        <v>23</v>
      </c>
      <c r="B24">
        <f t="shared" si="0"/>
        <v>3046</v>
      </c>
      <c r="C24">
        <f t="shared" si="1"/>
        <v>3046</v>
      </c>
      <c r="D24">
        <f t="shared" si="2"/>
        <v>33242</v>
      </c>
    </row>
    <row r="25" spans="1:4">
      <c r="A25">
        <v>24</v>
      </c>
      <c r="B25">
        <f t="shared" si="0"/>
        <v>3213</v>
      </c>
      <c r="C25">
        <f t="shared" si="1"/>
        <v>3213</v>
      </c>
      <c r="D25">
        <f t="shared" si="2"/>
        <v>36455</v>
      </c>
    </row>
    <row r="26" spans="1:4">
      <c r="A26">
        <v>25</v>
      </c>
      <c r="B26">
        <f t="shared" si="0"/>
        <v>3383</v>
      </c>
      <c r="C26">
        <f t="shared" si="1"/>
        <v>3383</v>
      </c>
      <c r="D26">
        <f t="shared" si="2"/>
        <v>39838</v>
      </c>
    </row>
    <row r="27" spans="1:4">
      <c r="A27">
        <v>26</v>
      </c>
      <c r="B27">
        <f t="shared" si="0"/>
        <v>3555</v>
      </c>
      <c r="C27">
        <f t="shared" si="1"/>
        <v>3555</v>
      </c>
      <c r="D27">
        <f t="shared" si="2"/>
        <v>43393</v>
      </c>
    </row>
    <row r="28" spans="1:4">
      <c r="A28">
        <v>27</v>
      </c>
      <c r="B28">
        <f t="shared" si="0"/>
        <v>3729</v>
      </c>
      <c r="C28">
        <f t="shared" si="1"/>
        <v>3729</v>
      </c>
      <c r="D28">
        <f t="shared" si="2"/>
        <v>47122</v>
      </c>
    </row>
    <row r="29" spans="1:4">
      <c r="A29">
        <v>28</v>
      </c>
      <c r="B29">
        <f t="shared" si="0"/>
        <v>3904</v>
      </c>
      <c r="C29">
        <f t="shared" si="1"/>
        <v>3904</v>
      </c>
      <c r="D29">
        <f t="shared" si="2"/>
        <v>51026</v>
      </c>
    </row>
    <row r="30" spans="1:4">
      <c r="A30">
        <v>29</v>
      </c>
      <c r="B30">
        <f t="shared" si="0"/>
        <v>4082</v>
      </c>
      <c r="C30">
        <f t="shared" si="1"/>
        <v>4082</v>
      </c>
      <c r="D30">
        <f t="shared" si="2"/>
        <v>55108</v>
      </c>
    </row>
    <row r="31" spans="1:4">
      <c r="A31">
        <v>30</v>
      </c>
      <c r="B31">
        <f t="shared" si="0"/>
        <v>4261</v>
      </c>
      <c r="C31">
        <f t="shared" si="1"/>
        <v>4261</v>
      </c>
      <c r="D31">
        <f t="shared" si="2"/>
        <v>59369</v>
      </c>
    </row>
    <row r="32" spans="1:4">
      <c r="A32">
        <v>31</v>
      </c>
      <c r="B32">
        <f t="shared" si="0"/>
        <v>4443</v>
      </c>
      <c r="C32">
        <f t="shared" si="1"/>
        <v>4443</v>
      </c>
      <c r="D32">
        <f t="shared" si="2"/>
        <v>63812</v>
      </c>
    </row>
    <row r="33" spans="1:4">
      <c r="A33">
        <v>32</v>
      </c>
      <c r="B33">
        <f t="shared" si="0"/>
        <v>4625</v>
      </c>
      <c r="C33">
        <f t="shared" si="1"/>
        <v>4625</v>
      </c>
      <c r="D33">
        <f t="shared" si="2"/>
        <v>68437</v>
      </c>
    </row>
    <row r="34" spans="1:4">
      <c r="A34">
        <v>33</v>
      </c>
      <c r="B34">
        <f t="shared" si="0"/>
        <v>4810</v>
      </c>
      <c r="C34">
        <f t="shared" si="1"/>
        <v>4810</v>
      </c>
      <c r="D34">
        <f t="shared" si="2"/>
        <v>73247</v>
      </c>
    </row>
    <row r="35" spans="1:4">
      <c r="A35">
        <v>34</v>
      </c>
      <c r="B35">
        <f t="shared" ref="B35:B66" si="3">ROUND(50*A35^1.3+100,0)</f>
        <v>4997</v>
      </c>
      <c r="C35">
        <f t="shared" ref="C35:C66" si="4">B35</f>
        <v>4997</v>
      </c>
      <c r="D35">
        <f t="shared" si="2"/>
        <v>78244</v>
      </c>
    </row>
    <row r="36" spans="1:4">
      <c r="A36">
        <v>35</v>
      </c>
      <c r="B36">
        <f t="shared" si="3"/>
        <v>5185</v>
      </c>
      <c r="C36">
        <f t="shared" si="4"/>
        <v>5185</v>
      </c>
      <c r="D36">
        <f t="shared" ref="D36:D67" si="5">D35+C36</f>
        <v>83429</v>
      </c>
    </row>
    <row r="37" spans="1:4">
      <c r="A37">
        <v>36</v>
      </c>
      <c r="B37">
        <f t="shared" si="3"/>
        <v>5374</v>
      </c>
      <c r="C37">
        <f t="shared" si="4"/>
        <v>5374</v>
      </c>
      <c r="D37">
        <f t="shared" si="5"/>
        <v>88803</v>
      </c>
    </row>
    <row r="38" spans="1:4">
      <c r="A38">
        <v>37</v>
      </c>
      <c r="B38">
        <f t="shared" si="3"/>
        <v>5566</v>
      </c>
      <c r="C38">
        <f t="shared" si="4"/>
        <v>5566</v>
      </c>
      <c r="D38">
        <f t="shared" si="5"/>
        <v>94369</v>
      </c>
    </row>
    <row r="39" spans="1:4">
      <c r="A39">
        <v>38</v>
      </c>
      <c r="B39">
        <f t="shared" si="3"/>
        <v>5758</v>
      </c>
      <c r="C39">
        <f t="shared" si="4"/>
        <v>5758</v>
      </c>
      <c r="D39">
        <f t="shared" si="5"/>
        <v>100127</v>
      </c>
    </row>
    <row r="40" spans="1:4">
      <c r="A40">
        <v>39</v>
      </c>
      <c r="B40">
        <f t="shared" si="3"/>
        <v>5953</v>
      </c>
      <c r="C40">
        <f t="shared" si="4"/>
        <v>5953</v>
      </c>
      <c r="D40">
        <f t="shared" si="5"/>
        <v>106080</v>
      </c>
    </row>
    <row r="41" spans="1:4">
      <c r="A41">
        <v>40</v>
      </c>
      <c r="B41">
        <f t="shared" si="3"/>
        <v>6149</v>
      </c>
      <c r="C41">
        <f t="shared" si="4"/>
        <v>6149</v>
      </c>
      <c r="D41">
        <f t="shared" si="5"/>
        <v>112229</v>
      </c>
    </row>
    <row r="42" spans="1:4">
      <c r="A42">
        <v>41</v>
      </c>
      <c r="B42">
        <f t="shared" si="3"/>
        <v>6346</v>
      </c>
      <c r="C42">
        <f t="shared" si="4"/>
        <v>6346</v>
      </c>
      <c r="D42">
        <f t="shared" si="5"/>
        <v>118575</v>
      </c>
    </row>
    <row r="43" spans="1:4">
      <c r="A43">
        <v>42</v>
      </c>
      <c r="B43">
        <f t="shared" si="3"/>
        <v>6545</v>
      </c>
      <c r="C43">
        <f t="shared" si="4"/>
        <v>6545</v>
      </c>
      <c r="D43">
        <f t="shared" si="5"/>
        <v>125120</v>
      </c>
    </row>
    <row r="44" spans="1:4">
      <c r="A44">
        <v>43</v>
      </c>
      <c r="B44">
        <f t="shared" si="3"/>
        <v>6745</v>
      </c>
      <c r="C44">
        <f t="shared" si="4"/>
        <v>6745</v>
      </c>
      <c r="D44">
        <f t="shared" si="5"/>
        <v>131865</v>
      </c>
    </row>
    <row r="45" spans="1:4">
      <c r="A45">
        <v>44</v>
      </c>
      <c r="B45">
        <f t="shared" si="3"/>
        <v>6946</v>
      </c>
      <c r="C45">
        <f t="shared" si="4"/>
        <v>6946</v>
      </c>
      <c r="D45">
        <f t="shared" si="5"/>
        <v>138811</v>
      </c>
    </row>
    <row r="46" spans="1:4">
      <c r="A46">
        <v>45</v>
      </c>
      <c r="B46">
        <f t="shared" si="3"/>
        <v>7149</v>
      </c>
      <c r="C46">
        <f t="shared" si="4"/>
        <v>7149</v>
      </c>
      <c r="D46">
        <f t="shared" si="5"/>
        <v>145960</v>
      </c>
    </row>
    <row r="47" spans="1:4">
      <c r="A47">
        <v>46</v>
      </c>
      <c r="B47">
        <f t="shared" si="3"/>
        <v>7354</v>
      </c>
      <c r="C47">
        <f t="shared" si="4"/>
        <v>7354</v>
      </c>
      <c r="D47">
        <f t="shared" si="5"/>
        <v>153314</v>
      </c>
    </row>
    <row r="48" spans="1:4">
      <c r="A48">
        <v>47</v>
      </c>
      <c r="B48">
        <f t="shared" si="3"/>
        <v>7559</v>
      </c>
      <c r="C48">
        <f t="shared" si="4"/>
        <v>7559</v>
      </c>
      <c r="D48">
        <f t="shared" si="5"/>
        <v>160873</v>
      </c>
    </row>
    <row r="49" spans="1:4">
      <c r="A49">
        <v>48</v>
      </c>
      <c r="B49">
        <f t="shared" si="3"/>
        <v>7766</v>
      </c>
      <c r="C49">
        <f t="shared" si="4"/>
        <v>7766</v>
      </c>
      <c r="D49">
        <f t="shared" si="5"/>
        <v>168639</v>
      </c>
    </row>
    <row r="50" spans="1:4">
      <c r="A50">
        <v>49</v>
      </c>
      <c r="B50">
        <f t="shared" si="3"/>
        <v>7975</v>
      </c>
      <c r="C50">
        <f t="shared" si="4"/>
        <v>7975</v>
      </c>
      <c r="D50">
        <f t="shared" si="5"/>
        <v>176614</v>
      </c>
    </row>
    <row r="51" spans="1:4">
      <c r="A51">
        <v>50</v>
      </c>
      <c r="B51">
        <f t="shared" si="3"/>
        <v>8184</v>
      </c>
      <c r="C51">
        <f t="shared" si="4"/>
        <v>8184</v>
      </c>
      <c r="D51">
        <f t="shared" si="5"/>
        <v>184798</v>
      </c>
    </row>
    <row r="52" spans="1:4">
      <c r="A52">
        <v>51</v>
      </c>
      <c r="B52">
        <f t="shared" si="3"/>
        <v>8395</v>
      </c>
      <c r="C52">
        <f>ROUND(B52*1.03,0)</f>
        <v>8647</v>
      </c>
      <c r="D52">
        <f t="shared" si="5"/>
        <v>193445</v>
      </c>
    </row>
    <row r="53" spans="1:4">
      <c r="A53">
        <v>52</v>
      </c>
      <c r="B53">
        <f t="shared" si="3"/>
        <v>8607</v>
      </c>
      <c r="C53">
        <f>ROUND(B53*1.06,0)</f>
        <v>9123</v>
      </c>
      <c r="D53">
        <f t="shared" si="5"/>
        <v>202568</v>
      </c>
    </row>
    <row r="54" spans="1:4">
      <c r="A54">
        <v>53</v>
      </c>
      <c r="B54">
        <f t="shared" si="3"/>
        <v>8820</v>
      </c>
      <c r="C54">
        <f>ROUND(B54*1.09,0)</f>
        <v>9614</v>
      </c>
      <c r="D54">
        <f t="shared" si="5"/>
        <v>212182</v>
      </c>
    </row>
    <row r="55" spans="1:4">
      <c r="A55">
        <v>54</v>
      </c>
      <c r="B55">
        <f t="shared" si="3"/>
        <v>9035</v>
      </c>
      <c r="C55">
        <f>ROUND(B55*1.12,0)</f>
        <v>10119</v>
      </c>
      <c r="D55">
        <f t="shared" si="5"/>
        <v>222301</v>
      </c>
    </row>
    <row r="56" spans="1:4">
      <c r="A56">
        <v>55</v>
      </c>
      <c r="B56">
        <f t="shared" si="3"/>
        <v>9250</v>
      </c>
      <c r="C56">
        <f>ROUND(B56*1.15,0)</f>
        <v>10638</v>
      </c>
      <c r="D56">
        <f t="shared" si="5"/>
        <v>232939</v>
      </c>
    </row>
    <row r="57" spans="1:4">
      <c r="A57">
        <v>56</v>
      </c>
      <c r="B57">
        <f t="shared" si="3"/>
        <v>9467</v>
      </c>
      <c r="C57">
        <f>ROUND(B57*1.18,0)</f>
        <v>11171</v>
      </c>
      <c r="D57">
        <f t="shared" si="5"/>
        <v>244110</v>
      </c>
    </row>
    <row r="58" spans="1:4">
      <c r="A58">
        <v>57</v>
      </c>
      <c r="B58">
        <f t="shared" si="3"/>
        <v>9685</v>
      </c>
      <c r="C58">
        <f>ROUND(B58*1.21,0)</f>
        <v>11719</v>
      </c>
      <c r="D58">
        <f t="shared" si="5"/>
        <v>255829</v>
      </c>
    </row>
    <row r="59" spans="1:4">
      <c r="A59">
        <v>58</v>
      </c>
      <c r="B59">
        <f t="shared" si="3"/>
        <v>9905</v>
      </c>
      <c r="C59">
        <f>ROUND(B59*1.24,0)</f>
        <v>12282</v>
      </c>
      <c r="D59">
        <f t="shared" si="5"/>
        <v>268111</v>
      </c>
    </row>
    <row r="60" spans="1:4">
      <c r="A60">
        <v>59</v>
      </c>
      <c r="B60">
        <f t="shared" si="3"/>
        <v>10125</v>
      </c>
      <c r="C60">
        <f>ROUND(B60*1.27,0)</f>
        <v>12859</v>
      </c>
      <c r="D60">
        <f t="shared" si="5"/>
        <v>280970</v>
      </c>
    </row>
    <row r="61" spans="1:4">
      <c r="A61">
        <v>60</v>
      </c>
      <c r="B61">
        <f t="shared" si="3"/>
        <v>10346</v>
      </c>
      <c r="C61">
        <f>ROUND(B61*1.3,0)</f>
        <v>13450</v>
      </c>
      <c r="D61">
        <f t="shared" si="5"/>
        <v>294420</v>
      </c>
    </row>
    <row r="62" spans="1:4">
      <c r="A62">
        <v>61</v>
      </c>
      <c r="B62">
        <f t="shared" si="3"/>
        <v>10569</v>
      </c>
      <c r="C62">
        <f>ROUND(B62*1.3,0)</f>
        <v>13740</v>
      </c>
      <c r="D62">
        <f t="shared" si="5"/>
        <v>308160</v>
      </c>
    </row>
    <row r="63" spans="1:4">
      <c r="A63">
        <v>62</v>
      </c>
      <c r="B63">
        <f t="shared" si="3"/>
        <v>10792</v>
      </c>
      <c r="C63">
        <f t="shared" ref="C63:C91" si="6">ROUND(B63*1.3,0)</f>
        <v>14030</v>
      </c>
      <c r="D63">
        <f t="shared" si="5"/>
        <v>322190</v>
      </c>
    </row>
    <row r="64" spans="1:4">
      <c r="A64">
        <v>63</v>
      </c>
      <c r="B64">
        <f t="shared" si="3"/>
        <v>11017</v>
      </c>
      <c r="C64">
        <f t="shared" si="6"/>
        <v>14322</v>
      </c>
      <c r="D64">
        <f t="shared" si="5"/>
        <v>336512</v>
      </c>
    </row>
    <row r="65" spans="1:4">
      <c r="A65">
        <v>64</v>
      </c>
      <c r="B65">
        <f t="shared" si="3"/>
        <v>11243</v>
      </c>
      <c r="C65">
        <f t="shared" si="6"/>
        <v>14616</v>
      </c>
      <c r="D65">
        <f t="shared" si="5"/>
        <v>351128</v>
      </c>
    </row>
    <row r="66" spans="1:4">
      <c r="A66">
        <v>65</v>
      </c>
      <c r="B66">
        <f t="shared" si="3"/>
        <v>11470</v>
      </c>
      <c r="C66">
        <f t="shared" si="6"/>
        <v>14911</v>
      </c>
      <c r="D66">
        <f t="shared" si="5"/>
        <v>366039</v>
      </c>
    </row>
    <row r="67" spans="1:4">
      <c r="A67">
        <v>66</v>
      </c>
      <c r="B67">
        <f t="shared" ref="B67:B91" si="7">ROUND(50*A67^1.3+100,0)</f>
        <v>11698</v>
      </c>
      <c r="C67">
        <f t="shared" si="6"/>
        <v>15207</v>
      </c>
      <c r="D67">
        <f t="shared" si="5"/>
        <v>381246</v>
      </c>
    </row>
    <row r="68" spans="1:4">
      <c r="A68">
        <v>67</v>
      </c>
      <c r="B68">
        <f t="shared" si="7"/>
        <v>11927</v>
      </c>
      <c r="C68">
        <f t="shared" si="6"/>
        <v>15505</v>
      </c>
      <c r="D68">
        <f t="shared" ref="D68:D91" si="8">D67+C68</f>
        <v>396751</v>
      </c>
    </row>
    <row r="69" spans="1:4">
      <c r="A69">
        <v>68</v>
      </c>
      <c r="B69">
        <f t="shared" si="7"/>
        <v>12157</v>
      </c>
      <c r="C69">
        <f t="shared" si="6"/>
        <v>15804</v>
      </c>
      <c r="D69">
        <f t="shared" si="8"/>
        <v>412555</v>
      </c>
    </row>
    <row r="70" spans="1:4">
      <c r="A70">
        <v>69</v>
      </c>
      <c r="B70">
        <f t="shared" si="7"/>
        <v>12388</v>
      </c>
      <c r="C70">
        <f t="shared" si="6"/>
        <v>16104</v>
      </c>
      <c r="D70">
        <f t="shared" si="8"/>
        <v>428659</v>
      </c>
    </row>
    <row r="71" spans="1:4">
      <c r="A71">
        <v>70</v>
      </c>
      <c r="B71">
        <f t="shared" si="7"/>
        <v>12620</v>
      </c>
      <c r="C71">
        <f t="shared" si="6"/>
        <v>16406</v>
      </c>
      <c r="D71">
        <f t="shared" si="8"/>
        <v>445065</v>
      </c>
    </row>
    <row r="72" spans="1:4">
      <c r="A72">
        <v>71</v>
      </c>
      <c r="B72">
        <f t="shared" si="7"/>
        <v>12853</v>
      </c>
      <c r="C72">
        <f t="shared" si="6"/>
        <v>16709</v>
      </c>
      <c r="D72">
        <f t="shared" si="8"/>
        <v>461774</v>
      </c>
    </row>
    <row r="73" spans="1:4">
      <c r="A73">
        <v>72</v>
      </c>
      <c r="B73">
        <f t="shared" si="7"/>
        <v>13087</v>
      </c>
      <c r="C73">
        <f t="shared" si="6"/>
        <v>17013</v>
      </c>
      <c r="D73">
        <f t="shared" si="8"/>
        <v>478787</v>
      </c>
    </row>
    <row r="74" spans="1:4">
      <c r="A74">
        <v>73</v>
      </c>
      <c r="B74">
        <f t="shared" si="7"/>
        <v>13322</v>
      </c>
      <c r="C74">
        <f t="shared" si="6"/>
        <v>17319</v>
      </c>
      <c r="D74">
        <f t="shared" si="8"/>
        <v>496106</v>
      </c>
    </row>
    <row r="75" spans="1:4">
      <c r="A75">
        <v>74</v>
      </c>
      <c r="B75">
        <f t="shared" si="7"/>
        <v>13558</v>
      </c>
      <c r="C75">
        <f t="shared" si="6"/>
        <v>17625</v>
      </c>
      <c r="D75">
        <f t="shared" si="8"/>
        <v>513731</v>
      </c>
    </row>
    <row r="76" spans="1:4">
      <c r="A76">
        <v>75</v>
      </c>
      <c r="B76">
        <f t="shared" si="7"/>
        <v>13795</v>
      </c>
      <c r="C76">
        <f t="shared" si="6"/>
        <v>17934</v>
      </c>
      <c r="D76">
        <f t="shared" si="8"/>
        <v>531665</v>
      </c>
    </row>
    <row r="77" spans="1:4">
      <c r="A77">
        <v>76</v>
      </c>
      <c r="B77">
        <f t="shared" si="7"/>
        <v>14032</v>
      </c>
      <c r="C77">
        <f t="shared" si="6"/>
        <v>18242</v>
      </c>
      <c r="D77">
        <f t="shared" si="8"/>
        <v>549907</v>
      </c>
    </row>
    <row r="78" spans="1:4">
      <c r="A78">
        <v>77</v>
      </c>
      <c r="B78">
        <f t="shared" si="7"/>
        <v>14271</v>
      </c>
      <c r="C78">
        <f t="shared" si="6"/>
        <v>18552</v>
      </c>
      <c r="D78">
        <f t="shared" si="8"/>
        <v>568459</v>
      </c>
    </row>
    <row r="79" spans="1:4">
      <c r="A79">
        <v>78</v>
      </c>
      <c r="B79">
        <f t="shared" si="7"/>
        <v>14511</v>
      </c>
      <c r="C79">
        <f t="shared" si="6"/>
        <v>18864</v>
      </c>
      <c r="D79">
        <f t="shared" si="8"/>
        <v>587323</v>
      </c>
    </row>
    <row r="80" spans="1:4">
      <c r="A80">
        <v>79</v>
      </c>
      <c r="B80">
        <f t="shared" si="7"/>
        <v>14752</v>
      </c>
      <c r="C80">
        <f t="shared" si="6"/>
        <v>19178</v>
      </c>
      <c r="D80">
        <f t="shared" si="8"/>
        <v>606501</v>
      </c>
    </row>
    <row r="81" spans="1:4">
      <c r="A81">
        <v>80</v>
      </c>
      <c r="B81">
        <f t="shared" si="7"/>
        <v>14993</v>
      </c>
      <c r="C81">
        <f>ROUND(B81*1.27,0)</f>
        <v>19041</v>
      </c>
      <c r="D81">
        <f t="shared" si="8"/>
        <v>625542</v>
      </c>
    </row>
    <row r="82" spans="1:4">
      <c r="A82">
        <v>81</v>
      </c>
      <c r="B82">
        <f t="shared" si="7"/>
        <v>15236</v>
      </c>
      <c r="C82">
        <f>ROUND(B82*1.24,0)</f>
        <v>18893</v>
      </c>
      <c r="D82">
        <f t="shared" si="8"/>
        <v>644435</v>
      </c>
    </row>
    <row r="83" spans="1:4">
      <c r="A83">
        <v>82</v>
      </c>
      <c r="B83">
        <f t="shared" si="7"/>
        <v>15479</v>
      </c>
      <c r="C83">
        <f>ROUND(B83*1.21,0)</f>
        <v>18730</v>
      </c>
      <c r="D83">
        <f t="shared" si="8"/>
        <v>663165</v>
      </c>
    </row>
    <row r="84" spans="1:4">
      <c r="A84">
        <v>83</v>
      </c>
      <c r="B84">
        <f t="shared" si="7"/>
        <v>15723</v>
      </c>
      <c r="C84">
        <f>ROUND(B84*1.18,0)</f>
        <v>18553</v>
      </c>
      <c r="D84">
        <f t="shared" si="8"/>
        <v>681718</v>
      </c>
    </row>
    <row r="85" spans="1:4">
      <c r="A85">
        <v>84</v>
      </c>
      <c r="B85">
        <f t="shared" si="7"/>
        <v>15968</v>
      </c>
      <c r="C85">
        <f>ROUND(B85*1.15,0)</f>
        <v>18363</v>
      </c>
      <c r="D85">
        <f t="shared" si="8"/>
        <v>700081</v>
      </c>
    </row>
    <row r="86" spans="1:4">
      <c r="A86">
        <v>85</v>
      </c>
      <c r="B86">
        <f t="shared" si="7"/>
        <v>16214</v>
      </c>
      <c r="C86">
        <f>ROUND(B86*1.12,0)</f>
        <v>18160</v>
      </c>
      <c r="D86">
        <f t="shared" si="8"/>
        <v>718241</v>
      </c>
    </row>
    <row r="87" spans="1:4">
      <c r="A87">
        <v>86</v>
      </c>
      <c r="B87">
        <f t="shared" si="7"/>
        <v>16461</v>
      </c>
      <c r="C87">
        <f>ROUND(B87*1.09,0)</f>
        <v>17942</v>
      </c>
      <c r="D87">
        <f t="shared" si="8"/>
        <v>736183</v>
      </c>
    </row>
    <row r="88" spans="1:4">
      <c r="A88">
        <v>87</v>
      </c>
      <c r="B88">
        <f t="shared" si="7"/>
        <v>16709</v>
      </c>
      <c r="C88">
        <f>ROUND(B88*1.06,0)</f>
        <v>17712</v>
      </c>
      <c r="D88">
        <f t="shared" si="8"/>
        <v>753895</v>
      </c>
    </row>
    <row r="89" spans="1:4">
      <c r="A89">
        <v>88</v>
      </c>
      <c r="B89">
        <f t="shared" si="7"/>
        <v>16958</v>
      </c>
      <c r="C89">
        <f>ROUND(B89*1.03,0)</f>
        <v>17467</v>
      </c>
      <c r="D89">
        <f t="shared" si="8"/>
        <v>771362</v>
      </c>
    </row>
    <row r="90" spans="1:4">
      <c r="A90">
        <v>89</v>
      </c>
      <c r="B90">
        <f t="shared" si="7"/>
        <v>17207</v>
      </c>
      <c r="C90">
        <f>ROUND(B90,0)</f>
        <v>17207</v>
      </c>
      <c r="D90">
        <f t="shared" si="8"/>
        <v>788569</v>
      </c>
    </row>
    <row r="91" spans="1:4">
      <c r="A91">
        <v>90</v>
      </c>
      <c r="B91">
        <f t="shared" si="7"/>
        <v>17457</v>
      </c>
      <c r="C91">
        <f>ROUND(B91*0.97,0)</f>
        <v>16933</v>
      </c>
      <c r="D91">
        <f t="shared" si="8"/>
        <v>805502</v>
      </c>
    </row>
  </sheetData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郑祖铭</dc:creator>
  <cp:lastModifiedBy>丶</cp:lastModifiedBy>
  <dcterms:created xsi:type="dcterms:W3CDTF">2023-05-12T11:23:08Z</dcterms:created>
  <dcterms:modified xsi:type="dcterms:W3CDTF">2026-06-03T08:15:56Z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51559C175C0E45F4BE2E785B02A002F9_13</vt:lpwstr>
  </property>
  <property fmtid="{D5CDD505-2E9C-101B-9397-08002B2CF9AE}" pid="4" name="CalculationRule">
    <vt:i4>0</vt:i4>
  </property>
</Properties>
</file>